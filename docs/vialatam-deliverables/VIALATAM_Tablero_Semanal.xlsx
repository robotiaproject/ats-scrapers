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Panel Sema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%"/>
  </numFmts>
  <fonts count="10">
    <font>
      <name val="Calibri"/>
      <family val="2"/>
      <color theme="1"/>
      <sz val="11"/>
      <scheme val="minor"/>
    </font>
    <font>
      <name val="Arial"/>
      <b val="1"/>
      <color rgb="002C3E50"/>
      <sz val="14"/>
    </font>
    <font>
      <name val="Arial"/>
      <i val="1"/>
      <color rgb="00666666"/>
      <sz val="9"/>
    </font>
    <font>
      <name val="Arial"/>
    </font>
    <font>
      <name val="Arial"/>
      <color rgb="000000FF"/>
    </font>
    <font>
      <name val="Arial"/>
      <color rgb="00000000"/>
    </font>
    <font>
      <name val="Arial"/>
      <b val="1"/>
    </font>
    <font>
      <name val="Arial"/>
      <b val="1"/>
      <color rgb="00FFFFFF"/>
    </font>
    <font>
      <name val="Arial"/>
      <i val="1"/>
      <color rgb="007F8C8D"/>
    </font>
    <font>
      <name val="Arial"/>
      <i val="1"/>
    </font>
  </fonts>
  <fills count="7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2C3E50"/>
      </patternFill>
    </fill>
    <fill>
      <patternFill patternType="solid">
        <fgColor rgb="007F8C8D"/>
      </patternFill>
    </fill>
    <fill>
      <patternFill patternType="solid">
        <fgColor rgb="00F5EDE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pivotButton="0" quotePrefix="0" xfId="0"/>
    <xf numFmtId="3" fontId="4" fillId="2" borderId="1" pivotButton="0" quotePrefix="0" xfId="0"/>
    <xf numFmtId="3" fontId="5" fillId="3" borderId="1" pivotButton="0" quotePrefix="0" xfId="0"/>
    <xf numFmtId="0" fontId="7" fillId="4" borderId="1" pivotButton="0" quotePrefix="0" xfId="0"/>
    <xf numFmtId="3" fontId="7" fillId="4" borderId="1" pivotButton="0" quotePrefix="0" xfId="0"/>
    <xf numFmtId="0" fontId="6" fillId="0" borderId="0" pivotButton="0" quotePrefix="0" xfId="0"/>
    <xf numFmtId="0" fontId="7" fillId="4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7" fillId="5" borderId="1" pivotButton="0" quotePrefix="0" xfId="0"/>
    <xf numFmtId="0" fontId="6" fillId="6" borderId="1" pivotButton="0" quotePrefix="0" xfId="0"/>
    <xf numFmtId="3" fontId="8" fillId="0" borderId="1" pivotButton="0" quotePrefix="0" xfId="0"/>
    <xf numFmtId="0" fontId="9" fillId="3" borderId="1" pivotButton="0" quotePrefix="0" xfId="0"/>
    <xf numFmtId="165" fontId="0" fillId="0" borderId="1" pivotButton="0" quotePrefix="0" xfId="0"/>
    <xf numFmtId="3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VíaLatam — De 'R$1.000/día' a ventas por semana</t>
        </is>
      </c>
    </row>
    <row r="2">
      <c r="A2" s="2" t="inlineStr">
        <is>
          <t>Cambia solo las celdas amarillas. Todo lo demás se calcula.</t>
        </is>
      </c>
    </row>
    <row r="4">
      <c r="A4" s="3" t="inlineStr">
        <is>
          <t>Meta de ganancia por día (R$)</t>
        </is>
      </c>
      <c r="B4" s="4" t="n">
        <v>1000</v>
      </c>
    </row>
    <row r="5">
      <c r="A5" s="3" t="inlineStr">
        <is>
          <t>Días de venta por semana</t>
        </is>
      </c>
      <c r="B5" s="4" t="n">
        <v>6</v>
      </c>
    </row>
    <row r="6">
      <c r="A6" s="3" t="inlineStr">
        <is>
          <t>Margen neto por venta (R$)</t>
        </is>
      </c>
      <c r="B6" s="4" t="n">
        <v>250</v>
      </c>
    </row>
    <row r="8">
      <c r="A8" s="3" t="inlineStr">
        <is>
          <t>Meta de ganancia por semana (R$)</t>
        </is>
      </c>
      <c r="B8" s="5">
        <f>B4*B5</f>
        <v/>
      </c>
    </row>
    <row r="9">
      <c r="A9" s="3" t="inlineStr">
        <is>
          <t>Meta de ganancia por mes (R$, ~4.33 sem)</t>
        </is>
      </c>
      <c r="B9" s="5">
        <f>B8*4.33</f>
        <v/>
      </c>
    </row>
    <row r="10">
      <c r="A10" s="6" t="inlineStr">
        <is>
          <t>VENTAS POR SEMANA NECESARIAS</t>
        </is>
      </c>
      <c r="B10" s="7">
        <f>ROUNDUP(B8/B6,1)</f>
        <v/>
      </c>
    </row>
    <row r="11">
      <c r="A11" s="3" t="inlineStr">
        <is>
          <t>Ventas por día necesarias</t>
        </is>
      </c>
      <c r="B11" s="5">
        <f>ROUNDUP(B4/B6,1)</f>
        <v/>
      </c>
    </row>
    <row r="15">
      <c r="A15" s="8" t="inlineStr">
        <is>
          <t>Escenarios de referencia (margen por venta → ventas/semana para la meta)</t>
        </is>
      </c>
    </row>
    <row r="16">
      <c r="A16" s="9" t="inlineStr">
        <is>
          <t>Escenario</t>
        </is>
      </c>
      <c r="B16" s="9" t="inlineStr">
        <is>
          <t>Margen/venta (R$)</t>
        </is>
      </c>
      <c r="C16" s="9" t="inlineStr">
        <is>
          <t>Ventas/semana</t>
        </is>
      </c>
      <c r="D16" s="9" t="inlineStr">
        <is>
          <t>Ventas/día</t>
        </is>
      </c>
    </row>
    <row r="17">
      <c r="A17" s="10" t="inlineStr">
        <is>
          <t>Solo aéreo (Básico)</t>
        </is>
      </c>
      <c r="B17" s="4" t="n">
        <v>80</v>
      </c>
      <c r="C17" s="11">
        <f>ROUNDUP($B$8/B17,1)</f>
        <v/>
      </c>
      <c r="D17" s="11">
        <f>ROUNDUP($B$4/B17,1)</f>
        <v/>
      </c>
    </row>
    <row r="18">
      <c r="A18" s="10" t="inlineStr">
        <is>
          <t>Paquete Completo ⭐</t>
        </is>
      </c>
      <c r="B18" s="4" t="n">
        <v>250</v>
      </c>
      <c r="C18" s="11">
        <f>ROUNDUP($B$8/B18,1)</f>
        <v/>
      </c>
      <c r="D18" s="11">
        <f>ROUNDUP($B$4/B18,1)</f>
        <v/>
      </c>
    </row>
    <row r="19">
      <c r="A19" s="10" t="inlineStr">
        <is>
          <t>Paquete Premium</t>
        </is>
      </c>
      <c r="B19" s="4" t="n">
        <v>600</v>
      </c>
      <c r="C19" s="11">
        <f>ROUNDUP($B$8/B19,1)</f>
        <v/>
      </c>
      <c r="D19" s="11">
        <f>ROUNDUP($B$4/B19,1)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</cols>
  <sheetData>
    <row r="1">
      <c r="A1" s="1" t="inlineStr">
        <is>
          <t>Panel semanal de 6 números</t>
        </is>
      </c>
    </row>
    <row r="2">
      <c r="A2" s="2" t="inlineStr">
        <is>
          <t>Cada viernes, llena la columna de la semana (celdas amarillas). Las tasas se calculan solas.</t>
        </is>
      </c>
    </row>
    <row r="4">
      <c r="A4" s="6" t="inlineStr">
        <is>
          <t>Métrica</t>
        </is>
      </c>
      <c r="B4" s="12" t="inlineStr">
        <is>
          <t>Ejemplo</t>
        </is>
      </c>
      <c r="C4" s="9" t="inlineStr">
        <is>
          <t>Sem 1</t>
        </is>
      </c>
      <c r="D4" s="9" t="inlineStr">
        <is>
          <t>Sem 2</t>
        </is>
      </c>
      <c r="E4" s="9" t="inlineStr">
        <is>
          <t>Sem 3</t>
        </is>
      </c>
      <c r="F4" s="9" t="inlineStr">
        <is>
          <t>Sem 4</t>
        </is>
      </c>
      <c r="G4" s="9" t="inlineStr">
        <is>
          <t>Sem 5</t>
        </is>
      </c>
      <c r="H4" s="9" t="inlineStr">
        <is>
          <t>Sem 6</t>
        </is>
      </c>
      <c r="I4" s="9" t="inlineStr">
        <is>
          <t>Sem 7</t>
        </is>
      </c>
      <c r="J4" s="9" t="inlineStr">
        <is>
          <t>Sem 8</t>
        </is>
      </c>
      <c r="K4" s="9" t="inlineStr">
        <is>
          <t>Sem 9</t>
        </is>
      </c>
      <c r="L4" s="9" t="inlineStr">
        <is>
          <t>Sem 10</t>
        </is>
      </c>
      <c r="M4" s="9" t="inlineStr">
        <is>
          <t>Sem 11</t>
        </is>
      </c>
      <c r="N4" s="9" t="inlineStr">
        <is>
          <t>Sem 12</t>
        </is>
      </c>
    </row>
    <row r="5">
      <c r="A5" s="13" t="inlineStr">
        <is>
          <t>1. Alcance (personas)</t>
        </is>
      </c>
      <c r="B5" s="14" t="n">
        <v>8000</v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</row>
    <row r="6">
      <c r="A6" s="13" t="inlineStr">
        <is>
          <t>2. Conversaciones (WhatsApp)</t>
        </is>
      </c>
      <c r="B6" s="14" t="n">
        <v>160</v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>
      <c r="A7" s="13" t="inlineStr">
        <is>
          <t>3. Cotizaciones enviadas</t>
        </is>
      </c>
      <c r="B7" s="14" t="n">
        <v>60</v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A8" s="13" t="inlineStr">
        <is>
          <t>4. Ventas cerradas</t>
        </is>
      </c>
      <c r="B8" s="14" t="n">
        <v>15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</row>
    <row r="9">
      <c r="A9" s="13" t="inlineStr">
        <is>
          <t>5. Ingreso (R$)</t>
        </is>
      </c>
      <c r="B9" s="14" t="n">
        <v>12000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</row>
    <row r="10">
      <c r="A10" s="13" t="inlineStr">
        <is>
          <t>6. Margen (R$)</t>
        </is>
      </c>
      <c r="B10" s="14" t="n">
        <v>3750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>
      <c r="A11" s="8" t="inlineStr">
        <is>
          <t>Tasas de conversión (calculadas)</t>
        </is>
      </c>
    </row>
    <row r="12">
      <c r="A12" s="15" t="inlineStr">
        <is>
          <t>Contacto (Conv/Alcance)</t>
        </is>
      </c>
      <c r="B12" s="16">
        <f>IFERROR(B6/B5,0)</f>
        <v/>
      </c>
      <c r="C12" s="16">
        <f>IFERROR(C6/C5,0)</f>
        <v/>
      </c>
      <c r="D12" s="16">
        <f>IFERROR(D6/D5,0)</f>
        <v/>
      </c>
      <c r="E12" s="16">
        <f>IFERROR(E6/E5,0)</f>
        <v/>
      </c>
      <c r="F12" s="16">
        <f>IFERROR(F6/F5,0)</f>
        <v/>
      </c>
      <c r="G12" s="16">
        <f>IFERROR(G6/G5,0)</f>
        <v/>
      </c>
      <c r="H12" s="16">
        <f>IFERROR(H6/H5,0)</f>
        <v/>
      </c>
      <c r="I12" s="16">
        <f>IFERROR(I6/I5,0)</f>
        <v/>
      </c>
      <c r="J12" s="16">
        <f>IFERROR(J6/J5,0)</f>
        <v/>
      </c>
      <c r="K12" s="16">
        <f>IFERROR(K6/K5,0)</f>
        <v/>
      </c>
      <c r="L12" s="16">
        <f>IFERROR(L6/L5,0)</f>
        <v/>
      </c>
      <c r="M12" s="16">
        <f>IFERROR(M6/M5,0)</f>
        <v/>
      </c>
      <c r="N12" s="16">
        <f>IFERROR(N6/N5,0)</f>
        <v/>
      </c>
    </row>
    <row r="13">
      <c r="A13" s="15" t="inlineStr">
        <is>
          <t>Conv→Cotización (Cot/Conv)</t>
        </is>
      </c>
      <c r="B13" s="16">
        <f>IFERROR(B7/B6,0)</f>
        <v/>
      </c>
      <c r="C13" s="16">
        <f>IFERROR(C7/C6,0)</f>
        <v/>
      </c>
      <c r="D13" s="16">
        <f>IFERROR(D7/D6,0)</f>
        <v/>
      </c>
      <c r="E13" s="16">
        <f>IFERROR(E7/E6,0)</f>
        <v/>
      </c>
      <c r="F13" s="16">
        <f>IFERROR(F7/F6,0)</f>
        <v/>
      </c>
      <c r="G13" s="16">
        <f>IFERROR(G7/G6,0)</f>
        <v/>
      </c>
      <c r="H13" s="16">
        <f>IFERROR(H7/H6,0)</f>
        <v/>
      </c>
      <c r="I13" s="16">
        <f>IFERROR(I7/I6,0)</f>
        <v/>
      </c>
      <c r="J13" s="16">
        <f>IFERROR(J7/J6,0)</f>
        <v/>
      </c>
      <c r="K13" s="16">
        <f>IFERROR(K7/K6,0)</f>
        <v/>
      </c>
      <c r="L13" s="16">
        <f>IFERROR(L7/L6,0)</f>
        <v/>
      </c>
      <c r="M13" s="16">
        <f>IFERROR(M7/M6,0)</f>
        <v/>
      </c>
      <c r="N13" s="16">
        <f>IFERROR(N7/N6,0)</f>
        <v/>
      </c>
    </row>
    <row r="14">
      <c r="A14" s="15" t="inlineStr">
        <is>
          <t>Cierre (Ventas/Cot)</t>
        </is>
      </c>
      <c r="B14" s="16">
        <f>IFERROR(B8/B7,0)</f>
        <v/>
      </c>
      <c r="C14" s="16">
        <f>IFERROR(C8/C7,0)</f>
        <v/>
      </c>
      <c r="D14" s="16">
        <f>IFERROR(D8/D7,0)</f>
        <v/>
      </c>
      <c r="E14" s="16">
        <f>IFERROR(E8/E7,0)</f>
        <v/>
      </c>
      <c r="F14" s="16">
        <f>IFERROR(F8/F7,0)</f>
        <v/>
      </c>
      <c r="G14" s="16">
        <f>IFERROR(G8/G7,0)</f>
        <v/>
      </c>
      <c r="H14" s="16">
        <f>IFERROR(H8/H7,0)</f>
        <v/>
      </c>
      <c r="I14" s="16">
        <f>IFERROR(I8/I7,0)</f>
        <v/>
      </c>
      <c r="J14" s="16">
        <f>IFERROR(J8/J7,0)</f>
        <v/>
      </c>
      <c r="K14" s="16">
        <f>IFERROR(K8/K7,0)</f>
        <v/>
      </c>
      <c r="L14" s="16">
        <f>IFERROR(L8/L7,0)</f>
        <v/>
      </c>
      <c r="M14" s="16">
        <f>IFERROR(M8/M7,0)</f>
        <v/>
      </c>
      <c r="N14" s="16">
        <f>IFERROR(N8/N7,0)</f>
        <v/>
      </c>
    </row>
    <row r="15">
      <c r="A15" s="15" t="inlineStr">
        <is>
          <t>Ticket medio (Ingreso/Venta)</t>
        </is>
      </c>
      <c r="B15" s="17">
        <f>IFERROR(B10/B8,0)</f>
        <v/>
      </c>
      <c r="C15" s="17">
        <f>IFERROR(C10/C8,0)</f>
        <v/>
      </c>
      <c r="D15" s="17">
        <f>IFERROR(D10/D8,0)</f>
        <v/>
      </c>
      <c r="E15" s="17">
        <f>IFERROR(E10/E8,0)</f>
        <v/>
      </c>
      <c r="F15" s="17">
        <f>IFERROR(F10/F8,0)</f>
        <v/>
      </c>
      <c r="G15" s="17">
        <f>IFERROR(G10/G8,0)</f>
        <v/>
      </c>
      <c r="H15" s="17">
        <f>IFERROR(H10/H8,0)</f>
        <v/>
      </c>
      <c r="I15" s="17">
        <f>IFERROR(I10/I8,0)</f>
        <v/>
      </c>
      <c r="J15" s="17">
        <f>IFERROR(J10/J8,0)</f>
        <v/>
      </c>
      <c r="K15" s="17">
        <f>IFERROR(K10/K8,0)</f>
        <v/>
      </c>
      <c r="L15" s="17">
        <f>IFERROR(L10/L8,0)</f>
        <v/>
      </c>
      <c r="M15" s="17">
        <f>IFERROR(M10/M8,0)</f>
        <v/>
      </c>
      <c r="N15" s="17">
        <f>IFERROR(N10/N8,0)</f>
        <v/>
      </c>
    </row>
    <row r="16">
      <c r="A16" s="15" t="inlineStr">
        <is>
          <t>Margen medio/venta (Margen/Venta)</t>
        </is>
      </c>
      <c r="B16" s="17">
        <f>IFERROR(B10/B9,0)</f>
        <v/>
      </c>
      <c r="C16" s="17">
        <f>IFERROR(C10/C9,0)</f>
        <v/>
      </c>
      <c r="D16" s="17">
        <f>IFERROR(D10/D9,0)</f>
        <v/>
      </c>
      <c r="E16" s="17">
        <f>IFERROR(E10/E9,0)</f>
        <v/>
      </c>
      <c r="F16" s="17">
        <f>IFERROR(F10/F9,0)</f>
        <v/>
      </c>
      <c r="G16" s="17">
        <f>IFERROR(G10/G9,0)</f>
        <v/>
      </c>
      <c r="H16" s="17">
        <f>IFERROR(H10/H9,0)</f>
        <v/>
      </c>
      <c r="I16" s="17">
        <f>IFERROR(I10/I9,0)</f>
        <v/>
      </c>
      <c r="J16" s="17">
        <f>IFERROR(J10/J9,0)</f>
        <v/>
      </c>
      <c r="K16" s="17">
        <f>IFERROR(K10/K9,0)</f>
        <v/>
      </c>
      <c r="L16" s="17">
        <f>IFERROR(L10/L9,0)</f>
        <v/>
      </c>
      <c r="M16" s="17">
        <f>IFERROR(M10/M9,0)</f>
        <v/>
      </c>
      <c r="N16" s="17">
        <f>IFERROR(N10/N9,0)</f>
        <v/>
      </c>
    </row>
    <row r="17">
      <c r="A17" s="15" t="inlineStr">
        <is>
          <t>% Margen (Margen/Ingreso)</t>
        </is>
      </c>
      <c r="B17" s="16">
        <f>IFERROR(B10/B9,0)</f>
        <v/>
      </c>
      <c r="C17" s="16">
        <f>IFERROR(C10/C9,0)</f>
        <v/>
      </c>
      <c r="D17" s="16">
        <f>IFERROR(D10/D9,0)</f>
        <v/>
      </c>
      <c r="E17" s="16">
        <f>IFERROR(E10/E9,0)</f>
        <v/>
      </c>
      <c r="F17" s="16">
        <f>IFERROR(F10/F9,0)</f>
        <v/>
      </c>
      <c r="G17" s="16">
        <f>IFERROR(G10/G9,0)</f>
        <v/>
      </c>
      <c r="H17" s="16">
        <f>IFERROR(H10/H9,0)</f>
        <v/>
      </c>
      <c r="I17" s="16">
        <f>IFERROR(I10/I9,0)</f>
        <v/>
      </c>
      <c r="J17" s="16">
        <f>IFERROR(J10/J9,0)</f>
        <v/>
      </c>
      <c r="K17" s="16">
        <f>IFERROR(K10/K9,0)</f>
        <v/>
      </c>
      <c r="L17" s="16">
        <f>IFERROR(L10/L9,0)</f>
        <v/>
      </c>
      <c r="M17" s="16">
        <f>IFERROR(M10/M9,0)</f>
        <v/>
      </c>
      <c r="N17" s="16">
        <f>IFERROR(N10/N9,0)</f>
        <v/>
      </c>
    </row>
    <row r="20">
      <c r="A20" s="8" t="inlineStr">
        <is>
          <t>Cómo usar este panel</t>
        </is>
      </c>
    </row>
    <row r="21">
      <c r="A21" s="2" t="inlineStr">
        <is>
          <t>• Amarillo = tú lo llenas cada semana. Verde = se calcula solo.</t>
        </is>
      </c>
    </row>
    <row r="22">
      <c r="A22" s="2" t="inlineStr">
        <is>
          <t>• La columna 'Ejemplo' muestra el formato esperado; no la borres.</t>
        </is>
      </c>
    </row>
    <row r="23">
      <c r="A23" s="2" t="inlineStr">
        <is>
          <t>• Meta de ventas/semana: ver la hoja 'Meta'.</t>
        </is>
      </c>
    </row>
    <row r="24">
      <c r="A24" s="2" t="inlineStr">
        <is>
          <t>• Regla: si un número no se mueve 2 semanas seguidas, cambia la táctica de ESE paso.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2026-08-25T18:28:38Z</dcterms:created>
  <dcterms:modified xsi:type="dcterms:W3CDTF">2026-08-25T18:36:51Z</dcterms:modified>
</cp:coreProperties>
</file>